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dshnossrl-my.sharepoint.com/personal/dario_besler_dshnossrl_onmicrosoft_com/Documents/Escritorio/Proyecto consultas/"/>
    </mc:Choice>
  </mc:AlternateContent>
  <xr:revisionPtr revIDLastSave="75" documentId="11_F25DC773A252ABDACC10488251DE5BF45ADE58EF" xr6:coauthVersionLast="47" xr6:coauthVersionMax="47" xr10:uidLastSave="{B1434BF2-02D2-4BB8-B75A-73DA187D91A3}"/>
  <bookViews>
    <workbookView xWindow="-108" yWindow="-108" windowWidth="23256" windowHeight="12456" xr2:uid="{00000000-000D-0000-FFFF-FFFF00000000}"/>
  </bookViews>
  <sheets>
    <sheet name="Oferta - Vane" sheetId="1" r:id="rId1"/>
  </sheets>
  <externalReferences>
    <externalReference r:id="rId2"/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" i="1" l="1"/>
  <c r="D12" i="1"/>
  <c r="F12" i="1" s="1"/>
  <c r="E11" i="1"/>
  <c r="D11" i="1"/>
  <c r="F11" i="1" s="1"/>
  <c r="E10" i="1"/>
  <c r="D10" i="1"/>
  <c r="F10" i="1" s="1"/>
  <c r="E9" i="1"/>
  <c r="D9" i="1"/>
  <c r="F9" i="1" s="1"/>
  <c r="F8" i="1"/>
  <c r="E8" i="1"/>
  <c r="D8" i="1"/>
  <c r="E7" i="1"/>
  <c r="D7" i="1"/>
  <c r="F7" i="1" s="1"/>
  <c r="E6" i="1"/>
  <c r="D6" i="1"/>
  <c r="F6" i="1" s="1"/>
  <c r="E5" i="1"/>
  <c r="D5" i="1"/>
  <c r="F5" i="1" s="1"/>
  <c r="E4" i="1"/>
  <c r="D4" i="1"/>
  <c r="F4" i="1" s="1"/>
  <c r="E3" i="1"/>
  <c r="E13" i="1" s="1"/>
  <c r="D3" i="1"/>
  <c r="D13" i="1" s="1"/>
  <c r="F3" i="1" l="1"/>
  <c r="F13" i="1" s="1"/>
</calcChain>
</file>

<file path=xl/sharedStrings.xml><?xml version="1.0" encoding="utf-8"?>
<sst xmlns="http://schemas.openxmlformats.org/spreadsheetml/2006/main" count="40" uniqueCount="28">
  <si>
    <t>OFERTA TOTAL (Bls)</t>
  </si>
  <si>
    <t>VENTA (Bls)</t>
  </si>
  <si>
    <t>DISPONIBLE (Bls)</t>
  </si>
  <si>
    <t>Semilllero</t>
  </si>
  <si>
    <t>Variedad</t>
  </si>
  <si>
    <t>Primu</t>
  </si>
  <si>
    <t>DM</t>
  </si>
  <si>
    <t>DM 2200</t>
  </si>
  <si>
    <t>DON MARIO 2200</t>
  </si>
  <si>
    <t>DM 25E23 SE</t>
  </si>
  <si>
    <t>DM25E23 SE</t>
  </si>
  <si>
    <t>DM 33E22 SE</t>
  </si>
  <si>
    <t>DM 38E26 SE</t>
  </si>
  <si>
    <t>DM38E26 SE</t>
  </si>
  <si>
    <t>DM 40E25 SE</t>
  </si>
  <si>
    <t>DM40E25 SE</t>
  </si>
  <si>
    <t>DM 40R26 STS</t>
  </si>
  <si>
    <t>DM40R26</t>
  </si>
  <si>
    <t>DM 46E25 SE</t>
  </si>
  <si>
    <t>DM46E25 SE</t>
  </si>
  <si>
    <t>DM 46R25 STS</t>
  </si>
  <si>
    <t>DM46R25</t>
  </si>
  <si>
    <t>Nidera</t>
  </si>
  <si>
    <t>NK 37X26 E</t>
  </si>
  <si>
    <t>37x26 E STS</t>
  </si>
  <si>
    <t>NS 3925 E</t>
  </si>
  <si>
    <t>3925 E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</si>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</sst>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_);_(* \(#,##0\);_(* &quot;-&quot;??_);_(@_)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9"/>
        <bgColor theme="9" tint="0.79998168889431442"/>
      </patternFill>
    </fill>
  </fills>
  <borders count="8">
    <border>
      <left/>
      <right/>
      <top/>
      <bottom/>
      <diagonal/>
    </border>
    <border>
      <left/>
      <right/>
      <top style="dashed">
        <color indexed="64"/>
      </top>
      <bottom style="dashed">
        <color indexed="64"/>
      </bottom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dashed">
        <color auto="1"/>
      </bottom>
      <diagonal/>
    </border>
    <border>
      <left/>
      <right style="thin">
        <color theme="0"/>
      </right>
      <top/>
      <bottom style="dashed">
        <color auto="1"/>
      </bottom>
      <diagonal/>
    </border>
    <border>
      <left/>
      <right style="thin">
        <color theme="0"/>
      </right>
      <top style="dashed">
        <color auto="1"/>
      </top>
      <bottom style="dashed">
        <color auto="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4">
    <xf numFmtId="0" fontId="0" fillId="0" borderId="0" xfId="0"/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/>
    <xf numFmtId="0" fontId="2" fillId="2" borderId="3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0" fillId="3" borderId="5" xfId="0" applyFill="1" applyBorder="1" applyAlignment="1">
      <alignment horizontal="left"/>
    </xf>
    <xf numFmtId="0" fontId="0" fillId="3" borderId="6" xfId="0" applyFill="1" applyBorder="1" applyAlignment="1">
      <alignment horizontal="left"/>
    </xf>
    <xf numFmtId="164" fontId="1" fillId="4" borderId="7" xfId="1" applyNumberFormat="1" applyFont="1" applyFill="1" applyBorder="1" applyAlignment="1">
      <alignment horizontal="center"/>
    </xf>
    <xf numFmtId="164" fontId="1" fillId="3" borderId="6" xfId="1" applyNumberFormat="1" applyFont="1" applyFill="1" applyBorder="1" applyAlignment="1">
      <alignment horizontal="center"/>
    </xf>
    <xf numFmtId="0" fontId="0" fillId="4" borderId="7" xfId="0" applyFill="1" applyBorder="1" applyAlignment="1">
      <alignment horizontal="left"/>
    </xf>
    <xf numFmtId="0" fontId="0" fillId="4" borderId="6" xfId="0" applyFill="1" applyBorder="1" applyAlignment="1">
      <alignment horizontal="left"/>
    </xf>
    <xf numFmtId="0" fontId="4" fillId="5" borderId="1" xfId="0" applyFont="1" applyFill="1" applyBorder="1"/>
    <xf numFmtId="0" fontId="3" fillId="5" borderId="7" xfId="0" applyFont="1" applyFill="1" applyBorder="1" applyAlignment="1">
      <alignment horizontal="left"/>
    </xf>
    <xf numFmtId="164" fontId="3" fillId="5" borderId="7" xfId="1" applyNumberFormat="1" applyFont="1" applyFill="1" applyBorder="1" applyAlignment="1">
      <alignment horizontal="center"/>
    </xf>
  </cellXfs>
  <cellStyles count="2">
    <cellStyle name="Millare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shnossrl.sharepoint.com/sites/DSHNOS/Documentos%20compartidos/CALIDAD/SOJA/SOJA%2025-26/Planilla%20CALIDAD%20SOJA%2025-26%20.xlsx" TargetMode="External"/><Relationship Id="rId1" Type="http://schemas.openxmlformats.org/officeDocument/2006/relationships/externalLinkPath" Target="https://dshnossrl.sharepoint.com/sites/DSHNOS/Documentos%20compartidos/CALIDAD/SOJA/SOJA%2025-26/Planilla%20CALIDAD%20SOJA%2025-26%20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shnossrl.sharepoint.com/sites/DSHNOS/Documentos%20compartidos/PLANTA%20R85/SOJA%202025-2026/SOJA%20CAMPA&#209;A%2025-26.xlsm" TargetMode="External"/><Relationship Id="rId1" Type="http://schemas.openxmlformats.org/officeDocument/2006/relationships/externalLinkPath" Target="https://dshnossrl.sharepoint.com/sites/DSHNOS/Documentos%20compartidos/PLANTA%20R85/SOJA%202025-2026/SOJA%20CAMPA&#209;A%2025-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lidad CAMPO"/>
      <sheetName val="Compromiso"/>
      <sheetName val="Hoja1"/>
      <sheetName val="Cartas Calidad"/>
      <sheetName val="Info Orden de Carga"/>
      <sheetName val="Orden de Carga"/>
      <sheetName val="MASTER"/>
      <sheetName val="Ubicacion "/>
      <sheetName val="Detalle Silobolsa"/>
      <sheetName val="Resumen por Firma"/>
      <sheetName val="_Calc"/>
      <sheetName val="Resumen Campaña"/>
      <sheetName val="Escenarios"/>
      <sheetName val="_Datos"/>
      <sheetName val="Panel Interactivo"/>
      <sheetName val="Hoja3"/>
      <sheetName val="Hoja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alanza"/>
      <sheetName val="Orden int."/>
      <sheetName val="Intermedio"/>
      <sheetName val="Prod. Final"/>
      <sheetName val="Intermedio curado"/>
      <sheetName val="Plan Curado"/>
      <sheetName val="Chequeo"/>
      <sheetName val="Ventas Finn"/>
      <sheetName val="Despacho"/>
      <sheetName val="Orden de carga"/>
      <sheetName val="MASTER"/>
      <sheetName val="Calendario Produccion"/>
      <sheetName val="Cartel Bolsa M"/>
      <sheetName val="Rotulos"/>
      <sheetName val="Stock 2026"/>
      <sheetName val="RepStage"/>
      <sheetName val="_ListasLot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3"/>
  <sheetViews>
    <sheetView showGridLines="0" tabSelected="1" workbookViewId="0">
      <selection activeCell="D15" sqref="D15"/>
    </sheetView>
  </sheetViews>
  <sheetFormatPr baseColWidth="10" defaultColWidth="8.88671875" defaultRowHeight="14.4" x14ac:dyDescent="0.3"/>
  <cols>
    <col min="4" max="4" width="16.6640625" customWidth="1"/>
    <col min="5" max="5" width="18.109375" customWidth="1"/>
    <col min="6" max="6" width="23" customWidth="1"/>
  </cols>
  <sheetData>
    <row r="1" spans="1:6" ht="15" thickBot="1" x14ac:dyDescent="0.35">
      <c r="D1" s="1" t="s">
        <v>0</v>
      </c>
      <c r="E1" s="1" t="s">
        <v>1</v>
      </c>
      <c r="F1" s="1" t="s">
        <v>2</v>
      </c>
    </row>
    <row r="2" spans="1:6" ht="15" thickBot="1" x14ac:dyDescent="0.35">
      <c r="A2" s="2" t="s">
        <v>3</v>
      </c>
      <c r="B2" s="2" t="s">
        <v>4</v>
      </c>
      <c r="C2" s="2" t="s">
        <v>4</v>
      </c>
      <c r="D2" s="3" t="s">
        <v>5</v>
      </c>
      <c r="E2" s="3" t="s">
        <v>5</v>
      </c>
      <c r="F2" s="4" t="s">
        <v>5</v>
      </c>
    </row>
    <row r="3" spans="1:6" ht="15" thickTop="1" x14ac:dyDescent="0.3">
      <c r="A3" s="5" t="s">
        <v>6</v>
      </c>
      <c r="B3" s="6" t="s">
        <v>7</v>
      </c>
      <c r="C3" s="6" t="s">
        <v>8</v>
      </c>
      <c r="D3" s="7">
        <f>+SUMIFS([1]!Tablacalidad[Tns],[1]!Tablacalidad[Variedades],$C3,[1]!Tablacalidad[Calidad],"SI",[1]!Tablacalidad[Estado],"disp")*1000*0.85/40+(SUMIFS([2]!Intermedio[Kg x Partida],[2]!Intermedio[Variedad],C3)/40)</f>
        <v>4026.1374999999998</v>
      </c>
      <c r="E3" s="8">
        <f>+SUMIFS([2]!Ventas[Kg Total],[2]!Ventas[Variedad],$C3)/40</f>
        <v>3961</v>
      </c>
      <c r="F3" s="8">
        <f>+D3-E3</f>
        <v>65.137499999999818</v>
      </c>
    </row>
    <row r="4" spans="1:6" x14ac:dyDescent="0.3">
      <c r="A4" s="5" t="s">
        <v>6</v>
      </c>
      <c r="B4" s="6" t="s">
        <v>9</v>
      </c>
      <c r="C4" s="9" t="s">
        <v>10</v>
      </c>
      <c r="D4" s="7">
        <f>+SUMIFS([1]!Tablacalidad[Tns],[1]!Tablacalidad[Variedades],$C4,[1]!Tablacalidad[Calidad],"SI",[1]!Tablacalidad[Estado],"disp")*1000*0.85/40+(SUMIFS([2]!Intermedio[Kg x Partida],[2]!Intermedio[Variedad],C4)/40)</f>
        <v>17838.550000000003</v>
      </c>
      <c r="E4" s="7">
        <f>+SUMIFS([2]!Ventas[Kg Total],[2]!Ventas[Variedad],$C4)/40</f>
        <v>17115</v>
      </c>
      <c r="F4" s="7">
        <f t="shared" ref="F4:F10" si="0">+D4-E4</f>
        <v>723.55000000000291</v>
      </c>
    </row>
    <row r="5" spans="1:6" x14ac:dyDescent="0.3">
      <c r="A5" s="5" t="s">
        <v>6</v>
      </c>
      <c r="B5" s="6" t="s">
        <v>11</v>
      </c>
      <c r="C5" s="6" t="s">
        <v>11</v>
      </c>
      <c r="D5" s="7">
        <f>+SUMIFS([1]!Tablacalidad[Tns],[1]!Tablacalidad[Variedades],$C5,[1]!Tablacalidad[Calidad],"SI",[1]!Tablacalidad[Estado],"disp")*1000*0.85/40+(SUMIFS([2]!Intermedio[Kg x Partida],[2]!Intermedio[Variedad],C5)/40)</f>
        <v>7394.25</v>
      </c>
      <c r="E5" s="8">
        <f>+SUMIFS([2]!Ventas[Kg Total],[2]!Ventas[Variedad],$C5)/40</f>
        <v>6900</v>
      </c>
      <c r="F5" s="8">
        <f>+D5-E5</f>
        <v>494.25</v>
      </c>
    </row>
    <row r="6" spans="1:6" x14ac:dyDescent="0.3">
      <c r="A6" s="9" t="s">
        <v>6</v>
      </c>
      <c r="B6" s="9" t="s">
        <v>12</v>
      </c>
      <c r="C6" s="9" t="s">
        <v>13</v>
      </c>
      <c r="D6" s="7">
        <f>+SUMIFS([1]!Tablacalidad[Tns],[1]!Tablacalidad[Variedades],$C6,[1]!Tablacalidad[Calidad],"SI",[1]!Tablacalidad[Estado],"disp")*1000*0.85/40+(SUMIFS([2]!Intermedio[Kg x Partida],[2]!Intermedio[Variedad],C6)/40)</f>
        <v>9197.2125000000015</v>
      </c>
      <c r="E6" s="7">
        <f>+SUMIFS([2]!Ventas[Kg Total],[2]!Ventas[Variedad],$C6)/40</f>
        <v>5835</v>
      </c>
      <c r="F6" s="7">
        <f>+D6-E6</f>
        <v>3362.2125000000015</v>
      </c>
    </row>
    <row r="7" spans="1:6" x14ac:dyDescent="0.3">
      <c r="A7" s="5" t="s">
        <v>6</v>
      </c>
      <c r="B7" s="6" t="s">
        <v>14</v>
      </c>
      <c r="C7" s="6" t="s">
        <v>15</v>
      </c>
      <c r="D7" s="7">
        <f>+SUMIFS([1]!Tablacalidad[Tns],[1]!Tablacalidad[Variedades],$C7,[1]!Tablacalidad[Calidad],"SI",[1]!Tablacalidad[Estado],"disp")*1000*0.85/40+(SUMIFS([2]!Intermedio[Kg x Partida],[2]!Intermedio[Variedad],C7)/40)</f>
        <v>28485.024999999998</v>
      </c>
      <c r="E7" s="8">
        <f>+SUMIFS([2]!Ventas[Kg Total],[2]!Ventas[Variedad],$C7)/40</f>
        <v>18101</v>
      </c>
      <c r="F7" s="8">
        <f t="shared" si="0"/>
        <v>10384.024999999998</v>
      </c>
    </row>
    <row r="8" spans="1:6" x14ac:dyDescent="0.3">
      <c r="A8" s="9" t="s">
        <v>6</v>
      </c>
      <c r="B8" s="9" t="s">
        <v>16</v>
      </c>
      <c r="C8" s="9" t="s">
        <v>17</v>
      </c>
      <c r="D8" s="7">
        <f>+SUMIFS([1]!Tablacalidad[Tns],[1]!Tablacalidad[Variedades],$C8,[1]!Tablacalidad[Calidad],"SI",[1]!Tablacalidad[Estado],"disp")*1000*0.85/40+(SUMIFS([2]!Intermedio[Kg x Partida],[2]!Intermedio[Variedad],C8)/40)</f>
        <v>3180.4875000000002</v>
      </c>
      <c r="E8" s="7">
        <f>+SUMIFS([2]!Ventas[Kg Total],[2]!Ventas[Variedad],$C8)/40</f>
        <v>1220</v>
      </c>
      <c r="F8" s="7">
        <f>+D8-E8</f>
        <v>1960.4875000000002</v>
      </c>
    </row>
    <row r="9" spans="1:6" x14ac:dyDescent="0.3">
      <c r="A9" s="5" t="s">
        <v>6</v>
      </c>
      <c r="B9" s="6" t="s">
        <v>18</v>
      </c>
      <c r="C9" s="6" t="s">
        <v>19</v>
      </c>
      <c r="D9" s="7">
        <f>+SUMIFS([1]!Tablacalidad[Tns],[1]!Tablacalidad[Variedades],$C9,[1]!Tablacalidad[Calidad],"SI",[1]!Tablacalidad[Estado],"disp")*1000*0.85/40+(SUMIFS([2]!Intermedio[Kg x Partida],[2]!Intermedio[Variedad],C9)/40)</f>
        <v>42443.149999999994</v>
      </c>
      <c r="E9" s="8">
        <f>+SUMIFS([2]!Ventas[Kg Total],[2]!Ventas[Variedad],$C9)/40</f>
        <v>6390</v>
      </c>
      <c r="F9" s="8">
        <f t="shared" si="0"/>
        <v>36053.149999999994</v>
      </c>
    </row>
    <row r="10" spans="1:6" x14ac:dyDescent="0.3">
      <c r="A10" s="9" t="s">
        <v>6</v>
      </c>
      <c r="B10" s="9" t="s">
        <v>20</v>
      </c>
      <c r="C10" s="9" t="s">
        <v>21</v>
      </c>
      <c r="D10" s="7">
        <f>+SUMIFS([1]!Tablacalidad[Tns],[1]!Tablacalidad[Variedades],$C10,[1]!Tablacalidad[Calidad],"SI",[1]!Tablacalidad[Estado],"disp")*1000*0.85/40+(SUMIFS([2]!Intermedio[Kg x Partida],[2]!Intermedio[Variedad],C10)/40)</f>
        <v>8821.6125000000011</v>
      </c>
      <c r="E10" s="7">
        <f>+SUMIFS([2]!Ventas[Kg Total],[2]!Ventas[Variedad],$C10)/40</f>
        <v>3400</v>
      </c>
      <c r="F10" s="7">
        <f t="shared" si="0"/>
        <v>5421.6125000000011</v>
      </c>
    </row>
    <row r="11" spans="1:6" x14ac:dyDescent="0.3">
      <c r="A11" s="9" t="s">
        <v>22</v>
      </c>
      <c r="B11" s="10" t="s">
        <v>23</v>
      </c>
      <c r="C11" s="6" t="s">
        <v>24</v>
      </c>
      <c r="D11" s="7">
        <f>+SUMIFS([1]!Tablacalidad[Tns],[1]!Tablacalidad[Variedades],$C11,[1]!Tablacalidad[Calidad],"SI",[1]!Tablacalidad[Estado],"disp")*1000*0.85/40+(SUMIFS([2]!Intermedio[Kg x Partida],[2]!Intermedio[Variedad],C11)/40)</f>
        <v>1872.075</v>
      </c>
      <c r="E11" s="8">
        <f>+SUMIFS([2]!Ventas[Kg Total],[2]!Ventas[Variedad],$C11)/40</f>
        <v>1590</v>
      </c>
      <c r="F11" s="8">
        <f>+D11-E11</f>
        <v>282.07500000000005</v>
      </c>
    </row>
    <row r="12" spans="1:6" x14ac:dyDescent="0.3">
      <c r="A12" s="9" t="s">
        <v>22</v>
      </c>
      <c r="B12" s="9" t="s">
        <v>25</v>
      </c>
      <c r="C12" s="9" t="s">
        <v>26</v>
      </c>
      <c r="D12" s="7">
        <f>+SUMIFS([1]!Tablacalidad[Tns],[1]!Tablacalidad[Variedades],$C12,[1]!Tablacalidad[Calidad],"SI",[1]!Tablacalidad[Estado],"disp")*1000*0.85/40+(SUMIFS([2]!Intermedio[Kg x Partida],[2]!Intermedio[Variedad],C12)/40)</f>
        <v>1914.65</v>
      </c>
      <c r="E12" s="7">
        <f>+SUMIFS([2]!Ventas[Kg Total],[2]!Ventas[Variedad],$C12)/40</f>
        <v>1896.875</v>
      </c>
      <c r="F12" s="7">
        <f>+D12-E12</f>
        <v>17.775000000000091</v>
      </c>
    </row>
    <row r="13" spans="1:6" ht="15.6" x14ac:dyDescent="0.3">
      <c r="A13" s="11"/>
      <c r="B13" s="11"/>
      <c r="C13" s="12" t="s">
        <v>27</v>
      </c>
      <c r="D13" s="13">
        <f>+SUM(D3:D12)</f>
        <v>125173.15</v>
      </c>
      <c r="E13" s="13">
        <f>+SUM(E3:E12)</f>
        <v>66408.875</v>
      </c>
      <c r="F13" s="13">
        <f>+SUM(F3:F12)</f>
        <v>58764.275000000001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Oferta - Vane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Dario Besler</dc:creator>
  <cp:lastModifiedBy>Dario Besler</cp:lastModifiedBy>
  <dcterms:created xsi:type="dcterms:W3CDTF">2015-06-05T18:17:20Z</dcterms:created>
  <dcterms:modified xsi:type="dcterms:W3CDTF">2026-09-16T18:52:49Z</dcterms:modified>
</cp:coreProperties>
</file>