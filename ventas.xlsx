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dshnossrl-my.sharepoint.com/personal/dario_besler_dshnossrl_onmicrosoft_com/Documents/Escritorio/Proyecto consultas/"/>
    </mc:Choice>
  </mc:AlternateContent>
  <xr:revisionPtr revIDLastSave="16" documentId="8_{84F647D6-64B0-4B67-A398-BAAB8CFECA2D}" xr6:coauthVersionLast="47" xr6:coauthVersionMax="47" xr10:uidLastSave="{DA8A029A-2CC8-43E9-A464-657EBA82E9A0}"/>
  <bookViews>
    <workbookView xWindow="-108" yWindow="-108" windowWidth="23256" windowHeight="12456" xr2:uid="{71747808-59D5-4EA0-B5BC-BDFC3CF87956}"/>
  </bookViews>
  <sheets>
    <sheet name="Oferta - Vane" sheetId="3" r:id="rId1"/>
  </sheets>
  <externalReferences>
    <externalReference r:id="rId2"/>
    <externalReference r:id="rId3"/>
    <externalReference r:id="rId4"/>
  </externalReferences>
  <definedNames>
    <definedName name="Almacenamiento">[1]!Tabla9[Almacenamiento]</definedName>
    <definedName name="Area">[1]!Tabla14[Area]</definedName>
    <definedName name="Categoria">[1]!Tabla5[Categoria]</definedName>
    <definedName name="Código_Tratamiento">[1]!Base_Insumos__2[Código]</definedName>
    <definedName name="Estado">[1]!Tabla21[ESTADO]</definedName>
    <definedName name="Estado_Prod">[1]!Tabla23[Estado]</definedName>
    <definedName name="FIRMA">[1]!Tabla16[TITULAR CP]</definedName>
    <definedName name="Ingreso">[1]!Tabla16[#Data]</definedName>
    <definedName name="LIMPIEZA">[1]!Tabla13[Máq. Limpieza]</definedName>
    <definedName name="Planta">[1]!Tabla6[PLANTA]</definedName>
    <definedName name="PROCE">[1]!Tabla16[Procedencia]</definedName>
    <definedName name="PROCEDENCIA">#REF!</definedName>
    <definedName name="Proceso">#REF!</definedName>
    <definedName name="Semana">[1]!Tabla10[#Data]</definedName>
    <definedName name="Semilla">[1]!Tabla22[Semilla]</definedName>
    <definedName name="Semillero">[1]!Tabla18[Semillero]</definedName>
    <definedName name="Silobolsa">[1]!Tabla19[[Silobolsa ]]</definedName>
    <definedName name="Turno">#REF!</definedName>
    <definedName name="Variedad">[1]!Tabla17[Variedad]</definedName>
    <definedName name="Variedad_Ingreso">[1]!Tabla16[Variedad]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3" l="1"/>
  <c r="D10" i="3"/>
  <c r="I5" i="3"/>
  <c r="C5" i="3"/>
  <c r="G11" i="3"/>
  <c r="E11" i="3"/>
  <c r="I10" i="3"/>
  <c r="C10" i="3"/>
  <c r="G7" i="3"/>
  <c r="E7" i="3"/>
  <c r="I12" i="3"/>
  <c r="C12" i="3"/>
  <c r="G14" i="3"/>
  <c r="G3" i="3"/>
  <c r="I8" i="3"/>
  <c r="C8" i="3"/>
  <c r="G8" i="3"/>
  <c r="E8" i="3"/>
  <c r="I4" i="3"/>
  <c r="C4" i="3"/>
  <c r="I11" i="3"/>
  <c r="C11" i="3"/>
  <c r="G5" i="3"/>
  <c r="E5" i="3"/>
  <c r="I14" i="3"/>
  <c r="I3" i="3"/>
  <c r="G10" i="3"/>
  <c r="E10" i="3"/>
  <c r="G4" i="3"/>
  <c r="E4" i="3"/>
  <c r="H14" i="3"/>
  <c r="H3" i="3"/>
  <c r="G13" i="3"/>
  <c r="E13" i="3"/>
  <c r="G12" i="3"/>
  <c r="E12" i="3"/>
  <c r="F4" i="3"/>
  <c r="H4" i="3"/>
  <c r="C3" i="3"/>
  <c r="C14" i="3"/>
  <c r="I7" i="3"/>
  <c r="C7" i="3"/>
  <c r="J12" i="3"/>
  <c r="D12" i="3"/>
  <c r="B4" i="3"/>
  <c r="D4" i="3"/>
  <c r="J4" i="3"/>
  <c r="F14" i="3"/>
  <c r="F3" i="3"/>
  <c r="J9" i="3"/>
  <c r="D9" i="3"/>
  <c r="J7" i="3"/>
  <c r="D7" i="3"/>
  <c r="I6" i="3"/>
  <c r="C6" i="3"/>
  <c r="B14" i="3"/>
  <c r="G6" i="3"/>
  <c r="E6" i="3"/>
  <c r="H8" i="3"/>
  <c r="F8" i="3"/>
  <c r="D14" i="3"/>
  <c r="J11" i="3"/>
  <c r="D11" i="3"/>
  <c r="I13" i="3"/>
  <c r="C13" i="3"/>
  <c r="I9" i="3"/>
  <c r="C9" i="3"/>
  <c r="J5" i="3"/>
  <c r="D5" i="3"/>
  <c r="G9" i="3"/>
  <c r="E9" i="3"/>
  <c r="J6" i="3"/>
  <c r="D6" i="3"/>
  <c r="J13" i="3"/>
  <c r="D13" i="3"/>
  <c r="B8" i="3"/>
  <c r="D8" i="3"/>
  <c r="J8" i="3"/>
  <c r="F6" i="3"/>
  <c r="B6" i="3"/>
  <c r="H6" i="3"/>
  <c r="D3" i="3"/>
  <c r="J3" i="3"/>
  <c r="J14" i="3"/>
  <c r="H11" i="3"/>
  <c r="B11" i="3"/>
  <c r="F11" i="3"/>
  <c r="H5" i="3"/>
  <c r="B5" i="3"/>
  <c r="F5" i="3"/>
  <c r="F10" i="3"/>
  <c r="B10" i="3"/>
  <c r="H10" i="3"/>
  <c r="F13" i="3"/>
  <c r="B13" i="3"/>
  <c r="H13" i="3"/>
  <c r="H9" i="3"/>
  <c r="B9" i="3"/>
  <c r="F9" i="3"/>
  <c r="H7" i="3"/>
  <c r="B7" i="3"/>
  <c r="F7" i="3"/>
  <c r="F12" i="3"/>
  <c r="B12" i="3"/>
  <c r="H12" i="3"/>
  <c r="B3" i="3"/>
  <c r="E3" i="3"/>
  <c r="E14" i="3"/>
</calcChain>
</file>

<file path=xl/sharedStrings.xml><?xml version="1.0" encoding="utf-8"?>
<sst xmlns="http://schemas.openxmlformats.org/spreadsheetml/2006/main" count="26" uniqueCount="20">
  <si>
    <t>OFERTA TOTAL (Bls)</t>
  </si>
  <si>
    <t>VENTA (Bls)</t>
  </si>
  <si>
    <t>DISPONIBLE (Bls)</t>
  </si>
  <si>
    <t>Variedad</t>
  </si>
  <si>
    <t>DM Araucaria</t>
  </si>
  <si>
    <t>BIO Arazá</t>
  </si>
  <si>
    <t>NS Baguette 610</t>
  </si>
  <si>
    <t>NS Baguette 750</t>
  </si>
  <si>
    <t>NS Baguette 820</t>
  </si>
  <si>
    <t>RAGT Borsalino</t>
  </si>
  <si>
    <t>DM Casuarina</t>
  </si>
  <si>
    <t>DM Catalpa</t>
  </si>
  <si>
    <t>Total</t>
  </si>
  <si>
    <t>Primu</t>
  </si>
  <si>
    <t>Original</t>
  </si>
  <si>
    <t>Primu + Original</t>
  </si>
  <si>
    <t>Bio Gingko</t>
  </si>
  <si>
    <t>Bio Laurel</t>
  </si>
  <si>
    <t>RAGT Sidecar</t>
  </si>
  <si>
    <t>Trigo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</si>
</sst>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theme="9" tint="0.7999816888943144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 style="dashed">
        <color auto="1"/>
      </top>
      <bottom style="dashed">
        <color auto="1"/>
      </bottom>
      <diagonal/>
    </border>
    <border>
      <left/>
      <right style="thin">
        <color theme="0"/>
      </right>
      <top/>
      <bottom style="dashed">
        <color auto="1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8">
    <xf numFmtId="0" fontId="0" fillId="0" borderId="0" xfId="0"/>
    <xf numFmtId="165" fontId="0" fillId="0" borderId="0" xfId="1" applyNumberFormat="1" applyFont="1"/>
    <xf numFmtId="165" fontId="0" fillId="0" borderId="0" xfId="0" applyNumberFormat="1"/>
    <xf numFmtId="165" fontId="0" fillId="3" borderId="1" xfId="1" applyNumberFormat="1" applyFont="1" applyFill="1" applyBorder="1" applyAlignment="1">
      <alignment horizontal="left"/>
    </xf>
    <xf numFmtId="165" fontId="0" fillId="4" borderId="1" xfId="1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6" borderId="0" xfId="0" applyFill="1"/>
    <xf numFmtId="0" fontId="3" fillId="2" borderId="6" xfId="0" applyFont="1" applyFill="1" applyBorder="1"/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165" fontId="2" fillId="4" borderId="1" xfId="1" applyNumberFormat="1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65" fontId="2" fillId="3" borderId="2" xfId="1" applyNumberFormat="1" applyFont="1" applyFill="1" applyBorder="1" applyAlignment="1">
      <alignment horizontal="left"/>
    </xf>
    <xf numFmtId="165" fontId="0" fillId="3" borderId="2" xfId="1" applyNumberFormat="1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165" fontId="2" fillId="3" borderId="1" xfId="1" applyNumberFormat="1" applyFont="1" applyFill="1" applyBorder="1" applyAlignment="1">
      <alignment horizontal="left"/>
    </xf>
    <xf numFmtId="0" fontId="0" fillId="4" borderId="2" xfId="0" applyFill="1" applyBorder="1" applyAlignment="1">
      <alignment horizontal="left"/>
    </xf>
    <xf numFmtId="165" fontId="2" fillId="4" borderId="2" xfId="1" applyNumberFormat="1" applyFont="1" applyFill="1" applyBorder="1" applyAlignment="1">
      <alignment horizontal="left"/>
    </xf>
    <xf numFmtId="165" fontId="0" fillId="4" borderId="2" xfId="1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165" fontId="2" fillId="5" borderId="1" xfId="1" applyNumberFormat="1" applyFont="1" applyFill="1" applyBorder="1" applyAlignment="1">
      <alignment horizontal="left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DSHNOS/Documentos%20compartidos/PLANTA%20R85/TRIGO%202024-2025/TRIGO%20CAMPA&#209;A%2024-25%20(2).xlsx" TargetMode="External"/><Relationship Id="rId2" Type="http://schemas.openxmlformats.org/officeDocument/2006/relationships/externalLinkPath" Target="https://dshnossrl.sharepoint.com/sites/DSHNOS/Documentos%20compartidos/PLANTA%20R85/TRIGO%202024-2025/TRIGO%20CAMPA&#209;A%2024-25%20(2).xlsx" TargetMode="External"/><Relationship Id="rId1" Type="http://schemas.openxmlformats.org/officeDocument/2006/relationships/externalLinkPath" Target="/sites/DSHNOS/Documentos%20compartidos/PLANTA%20R85/TRIGO%202024-2025/TRIGO%20CAMPA&#209;A%2024-25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shnossrl.sharepoint.com/sites/DSHNOS/Documentos%20compartidos/CALIDAD/TRIGO/TRIGO%2025-26/PLANILLA%20CALIDAD%20TRIGO%2025-26.xlsx" TargetMode="External"/><Relationship Id="rId1" Type="http://schemas.openxmlformats.org/officeDocument/2006/relationships/externalLinkPath" Target="https://dshnossrl.sharepoint.com/sites/DSHNOS/Documentos%20compartidos/CALIDAD/TRIGO/TRIGO%2025-26/PLANILLA%20CALIDAD%20TRIGO%2025-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shnossrl.sharepoint.com/sites/DSHNOS/Documentos%20compartidos/PLANTA%20R85/TRIGO%202025-2026/TRIGO%20CAMPA&#209;A%2025-26.xlsm" TargetMode="External"/><Relationship Id="rId1" Type="http://schemas.openxmlformats.org/officeDocument/2006/relationships/externalLinkPath" Target="https://dshnossrl.sharepoint.com/sites/DSHNOS/Documentos%20compartidos/PLANTA%20R85/TRIGO%202025-2026/TRIGO%20CAMPA&#209;A%2025-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vQNBaQcuvUW6Y7O1uxya8bqnBEjg8nZGiVtRtyod7iLWek5UiDbaRpBCsQTmJSGq" itemId="01G3ZTNXBIGAHVPIX7QVHJ2J2NDS5434US">
      <xxl21:absoluteUrl r:id="rId2"/>
      <xxl21:relativeUrl r:id="rId3"/>
    </xxl21:alternateUrls>
    <sheetNames>
      <sheetName val="Ingresos-PBI"/>
      <sheetName val="Areas"/>
      <sheetName val="INGRESO"/>
      <sheetName val="Hoja2"/>
      <sheetName val="Interm-PBI"/>
      <sheetName val="FILTROS_CARGAS"/>
      <sheetName val="Reporte Ingresos"/>
      <sheetName val="Tiempos Procesos"/>
      <sheetName val="INTERMEDIO"/>
      <sheetName val="P. FINAL"/>
      <sheetName val="Hoja10"/>
      <sheetName val="ORDEN P. INTERMEDIO"/>
      <sheetName val="ROTULOS BB"/>
      <sheetName val="Hoja3"/>
      <sheetName val="Ventas_pbi"/>
      <sheetName val="Ventas_xls"/>
      <sheetName val="B. Muestra"/>
      <sheetName val="Hoja6"/>
      <sheetName val="FILTROS_LOTES_INTERM"/>
      <sheetName val="Req. Int."/>
      <sheetName val="STOCK BOL Y BIG"/>
      <sheetName val="MASTER"/>
      <sheetName val="STOCK  ROTULOS "/>
      <sheetName val="triguillo"/>
      <sheetName val="P. Curado"/>
      <sheetName val="Hoja5"/>
      <sheetName val="Hoja1"/>
      <sheetName val="Hoja7"/>
      <sheetName val="Hoja4"/>
      <sheetName val="Hoja8"/>
      <sheetName val="Hoja9"/>
      <sheetName val="TRIGO CAMPAÑA 24-25 (2)"/>
    </sheetNames>
    <sheetDataSet>
      <sheetData sheetId="0" refreshError="1"/>
      <sheetData sheetId="1" refreshError="1"/>
      <sheetData sheetId="2">
        <row r="112">
          <cell r="G112" t="str">
            <v>Fernandez Enrique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166">
          <cell r="I166">
            <v>28600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vQNBaQcuvUW6Y7O1uxya8bqnBEjg8nZGiVtRtyod7iLWek5UiDbaRpBCsQTmJSGq" itemId="01G3ZTNXEVAD2N37U6KVE3PPWXXU62BPM5">
      <xxl21:absoluteUrl r:id="rId2"/>
    </xxl21:alternateUrls>
    <sheetNames>
      <sheetName val="Campo "/>
      <sheetName val="Hoja1"/>
      <sheetName val="Info Orden de Carga"/>
      <sheetName val="Orden de Carga"/>
      <sheetName val="Detalles de silobolsa"/>
      <sheetName val="Hoja2"/>
      <sheetName val="Cartas Calidad"/>
      <sheetName val="Descartes a Puerto"/>
      <sheetName val="Datos cosecha"/>
      <sheetName val="MASTER"/>
      <sheetName val="Info Semil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vQNBaQcuvUW6Y7O1uxya8bqnBEjg8nZGiVtRtyod7iLWek5UiDbaRpBCsQTmJSGq" itemId="01G3ZTNXGJ4Y466KDSD5HIYSV3HYT7XQYP">
      <xxl21:absoluteUrl r:id="rId2"/>
    </xxl21:alternateUrls>
    <sheetNames>
      <sheetName val="Areas"/>
      <sheetName val="Hoja2"/>
      <sheetName val="Interm-PBI"/>
      <sheetName val="FILTROS_CARGAS"/>
      <sheetName val="Stock 2026"/>
      <sheetName val="INGRESO"/>
      <sheetName val="Ingresos_pbi"/>
      <sheetName val="Reporte Ingresos"/>
      <sheetName val="INTERMEDIO"/>
      <sheetName val="P. FINAL"/>
      <sheetName val="Ventas_pbi"/>
      <sheetName val="ventas_Finn"/>
      <sheetName val="ORDEN P. INTERMEDIO"/>
      <sheetName val="ROTULOS BB"/>
      <sheetName val="B. Muestra"/>
      <sheetName val="QR"/>
      <sheetName val="FILTROS_LOTES_INTERM"/>
      <sheetName val="Hoja3"/>
      <sheetName val="Req. Int."/>
      <sheetName val="MASTER"/>
      <sheetName val="MASTER TRANSPORTE"/>
      <sheetName val="STOCK ROTULOS"/>
      <sheetName val="ORDEN DE CAR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E67C-DF81-4B72-B6DE-4D8FB4A1C307}">
  <sheetPr codeName="Hoja2"/>
  <dimension ref="A1:R22"/>
  <sheetViews>
    <sheetView showGridLines="0" tabSelected="1" workbookViewId="0">
      <selection activeCell="M12" sqref="M12"/>
    </sheetView>
  </sheetViews>
  <sheetFormatPr baseColWidth="10" defaultColWidth="11.44140625" defaultRowHeight="14.4" x14ac:dyDescent="0.3"/>
  <cols>
    <col min="1" max="1" width="14.44140625" bestFit="1" customWidth="1"/>
    <col min="2" max="2" width="15.88671875" customWidth="1"/>
    <col min="3" max="3" width="8.5546875" customWidth="1"/>
    <col min="4" max="4" width="17.44140625" customWidth="1"/>
    <col min="5" max="5" width="12.88671875" bestFit="1" customWidth="1"/>
    <col min="6" max="6" width="10.33203125" customWidth="1"/>
    <col min="7" max="7" width="14.77734375" customWidth="1"/>
    <col min="8" max="8" width="14.5546875" customWidth="1"/>
    <col min="9" max="9" width="10.33203125" customWidth="1"/>
    <col min="10" max="10" width="15.21875" customWidth="1"/>
    <col min="11" max="11" width="15.109375" customWidth="1"/>
    <col min="12" max="12" width="15.33203125" customWidth="1"/>
    <col min="13" max="13" width="6.33203125" customWidth="1"/>
    <col min="14" max="14" width="11.44140625" customWidth="1"/>
    <col min="18" max="18" width="12.6640625" bestFit="1" customWidth="1"/>
  </cols>
  <sheetData>
    <row r="1" spans="1:18" s="6" customFormat="1" ht="27.75" customHeight="1" thickBot="1" x14ac:dyDescent="0.35">
      <c r="A1" s="8" t="s">
        <v>19</v>
      </c>
      <c r="B1" s="25" t="s">
        <v>0</v>
      </c>
      <c r="C1" s="26"/>
      <c r="D1" s="27"/>
      <c r="E1" s="25" t="s">
        <v>1</v>
      </c>
      <c r="F1" s="26"/>
      <c r="G1" s="27"/>
      <c r="H1" s="25" t="s">
        <v>2</v>
      </c>
      <c r="I1" s="26"/>
      <c r="J1" s="27"/>
      <c r="K1"/>
      <c r="L1"/>
    </row>
    <row r="2" spans="1:18" s="5" customFormat="1" ht="26.25" customHeight="1" thickTop="1" thickBot="1" x14ac:dyDescent="0.35">
      <c r="A2" s="8" t="s">
        <v>3</v>
      </c>
      <c r="B2" s="9" t="s">
        <v>13</v>
      </c>
      <c r="C2" s="9" t="s">
        <v>14</v>
      </c>
      <c r="D2" s="10" t="s">
        <v>15</v>
      </c>
      <c r="E2" s="9" t="s">
        <v>13</v>
      </c>
      <c r="F2" s="11" t="s">
        <v>14</v>
      </c>
      <c r="G2" s="11" t="s">
        <v>15</v>
      </c>
      <c r="H2" s="12" t="s">
        <v>13</v>
      </c>
      <c r="I2" s="11" t="s">
        <v>14</v>
      </c>
      <c r="J2" s="11" t="s">
        <v>15</v>
      </c>
      <c r="K2"/>
      <c r="L2"/>
    </row>
    <row r="3" spans="1:18" ht="15" thickTop="1" x14ac:dyDescent="0.3">
      <c r="A3" s="13" t="s">
        <v>5</v>
      </c>
      <c r="B3" s="14">
        <f ca="1">+(SUMIFS([2]!Tabla2[Toneladas],[2]!Tabla2[Variedad],$B3,[2]!Tabla2[Calidad],"SI",[2]!Tabla2[Cat. Cosecha],"Primu",[2]!Tabla2[Estado.],"DISP")+SUMIFS([2]!Tabla2[Toneladas],[2]!Tabla2[Variedad],$B3,[2]!Tabla2[Calidad],"SI",[2]!Tabla2[Cat. Cosecha],"Segunda",[2]!Tabla2[Estado.],"DISP"))*1000/40*0.85+SUMIFS([3]!Intermedio[Kg x Partida],[3]!Intermedio[Categoría],"Primu",[3]!Intermedio[Oferta - Calidad],"SI" * "SI CURADO",[3]!Intermedio[Variedad],$C3)/40+(SUMIFS([2]!Tabla2[Toneladas],[2]!Tabla2[Variedad],$B3,[2]!Tabla2[Calidad],"SI CURADO",[2]!Tabla2[Cat. Cosecha],"Primu",[2]!Tabla2[Estado.],"DISP")+SUMIFS([2]!Tabla2[Toneladas],[2]!Tabla2[Variedad],$B3,[2]!Tabla2[Calidad],"SI CURADO",[2]!Tabla2[Cat. Cosecha],"Segunda",[2]!Tabla2[Estado.],"DISP"))*1000/40*0.85+SUMIFS([3]!Intermedio[Kg x Partida],[3]!Intermedio[Categoría],"Primu",[3]!Intermedio[Oferta - Calidad],"SI CURADO",[3]!Intermedio[Variedad],$C3)/40</f>
        <v>3409.9749999999999</v>
      </c>
      <c r="C3" s="14">
        <f ca="1">+SUMIFS([2]!Tabla2[Toneladas],[2]!Tabla2[Variedad],$B3,[2]!Tabla2[Cat. Cosecha],"Original",[2]!Tabla2[Estado.],"DISP")*1000/40*0.85+SUMIFS([3]!Intermedio[Kg x Partida],[3]!Intermedio[Categoría],"Original",[3]!Intermedio[Oferta - Calidad],"SI CURADO",[3]!Intermedio[Variedad],$C3)/40+SUMIFS([3]!Intermedio[Kg x Partida],[3]!Intermedio[Categoría],"Original",[3]!Intermedio[Oferta - Calidad],"SI",[3]!Intermedio[Variedad],$C3)/40</f>
        <v>0</v>
      </c>
      <c r="D3" s="14">
        <f t="shared" ref="D3:D13" ca="1" si="0">+B3+C3</f>
        <v>3409.9749999999999</v>
      </c>
      <c r="E3" s="14">
        <f ca="1">+SUMIFS([3]!Tabla10[Kg Total],[3]!Tabla10[Variedad],$B3,[3]!Tabla10[categoria],"Primu")/40</f>
        <v>0</v>
      </c>
      <c r="F3" s="4">
        <f ca="1">+SUMIFS([3]!Tabla10[Kg Total],[3]!Tabla10[Variedad],$B3,[3]!Tabla10[categoria],"Original")/40</f>
        <v>0</v>
      </c>
      <c r="G3" s="14">
        <f t="shared" ref="G3:G13" ca="1" si="1">+E3+F3</f>
        <v>0</v>
      </c>
      <c r="H3" s="4">
        <f t="shared" ref="H3:J13" ca="1" si="2">+B3-E3</f>
        <v>3409.9749999999999</v>
      </c>
      <c r="I3" s="14">
        <f t="shared" ca="1" si="2"/>
        <v>0</v>
      </c>
      <c r="J3" s="14">
        <f t="shared" ca="1" si="2"/>
        <v>3409.9749999999999</v>
      </c>
    </row>
    <row r="4" spans="1:18" x14ac:dyDescent="0.3">
      <c r="A4" s="15" t="s">
        <v>16</v>
      </c>
      <c r="B4" s="16">
        <f ca="1">+(SUMIFS([2]!Tabla2[Toneladas],[2]!Tabla2[Variedad],$B4,[2]!Tabla2[Calidad],"SI",[2]!Tabla2[Cat. Cosecha],"Primu",[2]!Tabla2[Estado.],"DISP")+SUMIFS([2]!Tabla2[Toneladas],[2]!Tabla2[Variedad],$B4,[2]!Tabla2[Calidad],"SI",[2]!Tabla2[Cat. Cosecha],"Segunda",[2]!Tabla2[Estado.],"DISP"))*1000/40*0.85+SUMIFS([3]!Intermedio[Kg x Partida],[3]!Intermedio[Categoría],"Primu",[3]!Intermedio[Oferta - Calidad],"SI" * "SI CURADO",[3]!Intermedio[Variedad],$C4)/40+(SUMIFS([2]!Tabla2[Toneladas],[2]!Tabla2[Variedad],$B4,[2]!Tabla2[Calidad],"SI CURADO",[2]!Tabla2[Cat. Cosecha],"Primu",[2]!Tabla2[Estado.],"DISP")+SUMIFS([2]!Tabla2[Toneladas],[2]!Tabla2[Variedad],$B4,[2]!Tabla2[Calidad],"SI CURADO",[2]!Tabla2[Cat. Cosecha],"Segunda",[2]!Tabla2[Estado.],"DISP"))*1000/40*0.85+SUMIFS([3]!Intermedio[Kg x Partida],[3]!Intermedio[Categoría],"Primu",[3]!Intermedio[Oferta - Calidad],"SI CURADO",[3]!Intermedio[Variedad],$C4)/40</f>
        <v>4573.6375000000007</v>
      </c>
      <c r="C4" s="16">
        <f ca="1">+SUMIFS([2]!Tabla2[Toneladas],[2]!Tabla2[Variedad],$B4,[2]!Tabla2[Cat. Cosecha],"Original",[2]!Tabla2[Estado.],"DISP")*1000/40*0.85+SUMIFS([3]!Intermedio[Kg x Partida],[3]!Intermedio[Categoría],"Original",[3]!Intermedio[Oferta - Calidad],"SI CURADO",[3]!Intermedio[Variedad],$C4)/40+SUMIFS([3]!Intermedio[Kg x Partida],[3]!Intermedio[Categoría],"Original",[3]!Intermedio[Oferta - Calidad],"SI",[3]!Intermedio[Variedad],$C4)/40</f>
        <v>0</v>
      </c>
      <c r="D4" s="16">
        <f t="shared" ca="1" si="0"/>
        <v>4573.6375000000007</v>
      </c>
      <c r="E4" s="16">
        <f ca="1">+SUMIFS([3]!Tabla10[Kg Total],[3]!Tabla10[Variedad],$B4,[3]!Tabla10[categoria],"Primu")/40</f>
        <v>0</v>
      </c>
      <c r="F4" s="17">
        <f ca="1">+SUMIFS([3]!Tabla10[Kg Total],[3]!Tabla10[Variedad],$B4,[3]!Tabla10[categoria],"Original")/40</f>
        <v>0</v>
      </c>
      <c r="G4" s="16">
        <f t="shared" ca="1" si="1"/>
        <v>0</v>
      </c>
      <c r="H4" s="17">
        <f t="shared" ca="1" si="2"/>
        <v>4573.6375000000007</v>
      </c>
      <c r="I4" s="16">
        <f t="shared" ca="1" si="2"/>
        <v>0</v>
      </c>
      <c r="J4" s="16">
        <f t="shared" ca="1" si="2"/>
        <v>4573.6375000000007</v>
      </c>
    </row>
    <row r="5" spans="1:18" x14ac:dyDescent="0.3">
      <c r="A5" s="13" t="s">
        <v>17</v>
      </c>
      <c r="B5" s="14">
        <f ca="1">+(SUMIFS([2]!Tabla2[Toneladas],[2]!Tabla2[Variedad],$B5,[2]!Tabla2[Calidad],"SI",[2]!Tabla2[Cat. Cosecha],"Primu",[2]!Tabla2[Estado.],"DISP")+SUMIFS([2]!Tabla2[Toneladas],[2]!Tabla2[Variedad],$B5,[2]!Tabla2[Calidad],"SI",[2]!Tabla2[Cat. Cosecha],"Segunda",[2]!Tabla2[Estado.],"DISP"))*1000/40*0.85+SUMIFS([3]!Intermedio[Kg x Partida],[3]!Intermedio[Categoría],"Primu",[3]!Intermedio[Oferta - Calidad],"SI" * "SI CURADO",[3]!Intermedio[Variedad],$C5)/40+(SUMIFS([2]!Tabla2[Toneladas],[2]!Tabla2[Variedad],$B5,[2]!Tabla2[Calidad],"SI CURADO",[2]!Tabla2[Cat. Cosecha],"Primu",[2]!Tabla2[Estado.],"DISP")+SUMIFS([2]!Tabla2[Toneladas],[2]!Tabla2[Variedad],$B5,[2]!Tabla2[Calidad],"SI CURADO",[2]!Tabla2[Cat. Cosecha],"Segunda",[2]!Tabla2[Estado.],"DISP"))*1000/40*0.85+SUMIFS([3]!Intermedio[Kg x Partida],[3]!Intermedio[Categoría],"Primu",[3]!Intermedio[Oferta - Calidad],"SI CURADO",[3]!Intermedio[Variedad],$C5)/40</f>
        <v>16191.862500000007</v>
      </c>
      <c r="C5" s="14">
        <f ca="1">+SUMIFS([2]!Tabla2[Toneladas],[2]!Tabla2[Variedad],$B5,[2]!Tabla2[Cat. Cosecha],"Original",[2]!Tabla2[Estado.],"DISP")*1000/40*0.85+SUMIFS([3]!Intermedio[Kg x Partida],[3]!Intermedio[Categoría],"Original",[3]!Intermedio[Oferta - Calidad],"SI CURADO",[3]!Intermedio[Variedad],$C5)/40+SUMIFS([3]!Intermedio[Kg x Partida],[3]!Intermedio[Categoría],"Original",[3]!Intermedio[Oferta - Calidad],"SI",[3]!Intermedio[Variedad],$C5)/40</f>
        <v>0</v>
      </c>
      <c r="D5" s="14">
        <f t="shared" ca="1" si="0"/>
        <v>16191.862500000007</v>
      </c>
      <c r="E5" s="14">
        <f ca="1">+SUMIFS([3]!Tabla10[Kg Total],[3]!Tabla10[Variedad],$B5,[3]!Tabla10[categoria],"Primu")/40</f>
        <v>0</v>
      </c>
      <c r="F5" s="4">
        <f ca="1">+SUMIFS([3]!Tabla10[Kg Total],[3]!Tabla10[Variedad],$B5,[3]!Tabla10[categoria],"Original")/40</f>
        <v>0</v>
      </c>
      <c r="G5" s="14">
        <f t="shared" ca="1" si="1"/>
        <v>0</v>
      </c>
      <c r="H5" s="4">
        <f t="shared" ca="1" si="2"/>
        <v>16191.862500000007</v>
      </c>
      <c r="I5" s="14">
        <f t="shared" ca="1" si="2"/>
        <v>0</v>
      </c>
      <c r="J5" s="14">
        <f t="shared" ca="1" si="2"/>
        <v>16191.862500000007</v>
      </c>
      <c r="P5" s="2"/>
    </row>
    <row r="6" spans="1:18" x14ac:dyDescent="0.3">
      <c r="A6" s="15" t="s">
        <v>4</v>
      </c>
      <c r="B6" s="16">
        <f ca="1">+(SUMIFS([2]!Tabla2[Toneladas],[2]!Tabla2[Variedad],$B6,[2]!Tabla2[Calidad],"SI",[2]!Tabla2[Cat. Cosecha],"Primu",[2]!Tabla2[Estado.],"DISP")+SUMIFS([2]!Tabla2[Toneladas],[2]!Tabla2[Variedad],$B6,[2]!Tabla2[Calidad],"SI",[2]!Tabla2[Cat. Cosecha],"Segunda",[2]!Tabla2[Estado.],"DISP"))*1000/40*0.85+SUMIFS([3]!Intermedio[Kg x Partida],[3]!Intermedio[Categoría],"Primu",[3]!Intermedio[Oferta - Calidad],"SI" * "SI CURADO",[3]!Intermedio[Variedad],$C6)/40+(SUMIFS([2]!Tabla2[Toneladas],[2]!Tabla2[Variedad],$B6,[2]!Tabla2[Calidad],"SI CURADO",[2]!Tabla2[Cat. Cosecha],"Primu",[2]!Tabla2[Estado.],"DISP")+SUMIFS([2]!Tabla2[Toneladas],[2]!Tabla2[Variedad],$B6,[2]!Tabla2[Calidad],"SI CURADO",[2]!Tabla2[Cat. Cosecha],"Segunda",[2]!Tabla2[Estado.],"DISP"))*1000/40*0.85+SUMIFS([3]!Intermedio[Kg x Partida],[3]!Intermedio[Categoría],"Primu",[3]!Intermedio[Oferta - Calidad],"SI CURADO",[3]!Intermedio[Variedad],$C6)/40</f>
        <v>22816.125000000007</v>
      </c>
      <c r="C6" s="16">
        <f ca="1">+SUMIFS([2]!Tabla2[Toneladas],[2]!Tabla2[Variedad],$B6,[2]!Tabla2[Cat. Cosecha],"Original",[2]!Tabla2[Estado.],"DISP")*1000/40*0.85+SUMIFS([3]!Intermedio[Kg x Partida],[3]!Intermedio[Categoría],"Original",[3]!Intermedio[Oferta - Calidad],"SI CURADO",[3]!Intermedio[Variedad],$C6)/40+SUMIFS([3]!Intermedio[Kg x Partida],[3]!Intermedio[Categoría],"Original",[3]!Intermedio[Oferta - Calidad],"SI",[3]!Intermedio[Variedad],$C6)/40</f>
        <v>2154.7499999999995</v>
      </c>
      <c r="D6" s="16">
        <f t="shared" ca="1" si="0"/>
        <v>24970.875000000007</v>
      </c>
      <c r="E6" s="16">
        <f ca="1">+SUMIFS([3]!Tabla10[Kg Total],[3]!Tabla10[Variedad],$B6,[3]!Tabla10[categoria],"Primu")/40</f>
        <v>100</v>
      </c>
      <c r="F6" s="17">
        <f ca="1">+SUMIFS([3]!Tabla10[Kg Total],[3]!Tabla10[Variedad],$B6,[3]!Tabla10[categoria],"Original")/40</f>
        <v>0</v>
      </c>
      <c r="G6" s="16">
        <f t="shared" ca="1" si="1"/>
        <v>100</v>
      </c>
      <c r="H6" s="17">
        <f t="shared" ca="1" si="2"/>
        <v>22716.125000000007</v>
      </c>
      <c r="I6" s="16">
        <f t="shared" ca="1" si="2"/>
        <v>2154.7499999999995</v>
      </c>
      <c r="J6" s="16">
        <f t="shared" ca="1" si="2"/>
        <v>24870.875000000007</v>
      </c>
    </row>
    <row r="7" spans="1:18" x14ac:dyDescent="0.3">
      <c r="A7" s="18" t="s">
        <v>10</v>
      </c>
      <c r="B7" s="19">
        <f ca="1">+(SUMIFS([2]!Tabla2[Toneladas],[2]!Tabla2[Variedad],$B7,[2]!Tabla2[Calidad],"SI",[2]!Tabla2[Cat. Cosecha],"Primu",[2]!Tabla2[Estado.],"DISP")+SUMIFS([2]!Tabla2[Toneladas],[2]!Tabla2[Variedad],$B7,[2]!Tabla2[Calidad],"SI",[2]!Tabla2[Cat. Cosecha],"Segunda",[2]!Tabla2[Estado.],"DISP"))*1000/40*0.85+SUMIFS([3]!Intermedio[Kg x Partida],[3]!Intermedio[Categoría],"Primu",[3]!Intermedio[Oferta - Calidad],"SI" * "SI CURADO",[3]!Intermedio[Variedad],$C7)/40+(SUMIFS([2]!Tabla2[Toneladas],[2]!Tabla2[Variedad],$B7,[2]!Tabla2[Calidad],"SI CURADO",[2]!Tabla2[Cat. Cosecha],"Primu",[2]!Tabla2[Estado.],"DISP")+SUMIFS([2]!Tabla2[Toneladas],[2]!Tabla2[Variedad],$B7,[2]!Tabla2[Calidad],"SI CURADO",[2]!Tabla2[Cat. Cosecha],"Segunda",[2]!Tabla2[Estado.],"DISP"))*1000/40*0.85+SUMIFS([3]!Intermedio[Kg x Partida],[3]!Intermedio[Categoría],"Primu",[3]!Intermedio[Oferta - Calidad],"SI CURADO",[3]!Intermedio[Variedad],$C7)/40</f>
        <v>27118.399999999994</v>
      </c>
      <c r="C7" s="19">
        <f ca="1">+SUMIFS([2]!Tabla2[Toneladas],[2]!Tabla2[Variedad],$B7,[2]!Tabla2[Cat. Cosecha],"Original",[2]!Tabla2[Estado.],"DISP")*1000/40*0.85+SUMIFS([3]!Intermedio[Kg x Partida],[3]!Intermedio[Categoría],"Original",[3]!Intermedio[Oferta - Calidad],"SI CURADO",[3]!Intermedio[Variedad],$C7)/40+SUMIFS([3]!Intermedio[Kg x Partida],[3]!Intermedio[Categoría],"Original",[3]!Intermedio[Oferta - Calidad],"SI",[3]!Intermedio[Variedad],$C7)/40</f>
        <v>6356.9375000000018</v>
      </c>
      <c r="D7" s="19">
        <f t="shared" ca="1" si="0"/>
        <v>33475.337499999994</v>
      </c>
      <c r="E7" s="19">
        <f ca="1">+SUMIFS([3]!Tabla10[Kg Total],[3]!Tabla10[Variedad],$B7,[3]!Tabla10[categoria],"Primu")/40</f>
        <v>975</v>
      </c>
      <c r="F7" s="3">
        <f ca="1">+SUMIFS([3]!Tabla10[Kg Total],[3]!Tabla10[Variedad],$B7,[3]!Tabla10[categoria],"Original")/40</f>
        <v>0</v>
      </c>
      <c r="G7" s="19">
        <f t="shared" ca="1" si="1"/>
        <v>975</v>
      </c>
      <c r="H7" s="3">
        <f t="shared" ca="1" si="2"/>
        <v>26143.399999999994</v>
      </c>
      <c r="I7" s="19">
        <f t="shared" ca="1" si="2"/>
        <v>6356.9375000000018</v>
      </c>
      <c r="J7" s="19">
        <f t="shared" ca="1" si="2"/>
        <v>32500.337499999994</v>
      </c>
    </row>
    <row r="8" spans="1:18" x14ac:dyDescent="0.3">
      <c r="A8" s="20" t="s">
        <v>11</v>
      </c>
      <c r="B8" s="21">
        <f ca="1">+(SUMIFS([2]!Tabla2[Toneladas],[2]!Tabla2[Variedad],$B8,[2]!Tabla2[Calidad],"SI",[2]!Tabla2[Cat. Cosecha],"Primu",[2]!Tabla2[Estado.],"DISP")+SUMIFS([2]!Tabla2[Toneladas],[2]!Tabla2[Variedad],$B8,[2]!Tabla2[Calidad],"SI",[2]!Tabla2[Cat. Cosecha],"Segunda",[2]!Tabla2[Estado.],"DISP"))*1000/40*0.85+SUMIFS([3]!Intermedio[Kg x Partida],[3]!Intermedio[Categoría],"Primu",[3]!Intermedio[Oferta - Calidad],"SI" * "SI CURADO",[3]!Intermedio[Variedad],$C8)/40+(SUMIFS([2]!Tabla2[Toneladas],[2]!Tabla2[Variedad],$B8,[2]!Tabla2[Calidad],"SI CURADO",[2]!Tabla2[Cat. Cosecha],"Primu",[2]!Tabla2[Estado.],"DISP")+SUMIFS([2]!Tabla2[Toneladas],[2]!Tabla2[Variedad],$B8,[2]!Tabla2[Calidad],"SI CURADO",[2]!Tabla2[Cat. Cosecha],"Segunda",[2]!Tabla2[Estado.],"DISP"))*1000/40*0.85+SUMIFS([3]!Intermedio[Kg x Partida],[3]!Intermedio[Categoría],"Primu",[3]!Intermedio[Oferta - Calidad],"SI CURADO",[3]!Intermedio[Variedad],$C8)/40</f>
        <v>46329.42500000001</v>
      </c>
      <c r="C8" s="21">
        <f ca="1">+SUMIFS([2]!Tabla2[Toneladas],[2]!Tabla2[Variedad],$B8,[2]!Tabla2[Cat. Cosecha],"Original",[2]!Tabla2[Estado.],"DISP")*1000/40*0.85+SUMIFS([3]!Intermedio[Kg x Partida],[3]!Intermedio[Categoría],"Original",[3]!Intermedio[Oferta - Calidad],"SI CURADO",[3]!Intermedio[Variedad],$C8)/40+SUMIFS([3]!Intermedio[Kg x Partida],[3]!Intermedio[Categoría],"Original",[3]!Intermedio[Oferta - Calidad],"SI",[3]!Intermedio[Variedad],$C8)/40</f>
        <v>2592.5</v>
      </c>
      <c r="D8" s="21">
        <f t="shared" ca="1" si="0"/>
        <v>48921.92500000001</v>
      </c>
      <c r="E8" s="21">
        <f ca="1">+SUMIFS([3]!Tabla10[Kg Total],[3]!Tabla10[Variedad],$B8,[3]!Tabla10[categoria],"Primu")/40</f>
        <v>1250</v>
      </c>
      <c r="F8" s="22">
        <f ca="1">+SUMIFS([3]!Tabla10[Kg Total],[3]!Tabla10[Variedad],$B8,[3]!Tabla10[categoria],"Original")/40</f>
        <v>0</v>
      </c>
      <c r="G8" s="21">
        <f t="shared" ca="1" si="1"/>
        <v>1250</v>
      </c>
      <c r="H8" s="22">
        <f t="shared" ca="1" si="2"/>
        <v>45079.42500000001</v>
      </c>
      <c r="I8" s="21">
        <f t="shared" ca="1" si="2"/>
        <v>2592.5</v>
      </c>
      <c r="J8" s="21">
        <f t="shared" ca="1" si="2"/>
        <v>47671.92500000001</v>
      </c>
    </row>
    <row r="9" spans="1:18" x14ac:dyDescent="0.3">
      <c r="A9" s="18" t="s">
        <v>6</v>
      </c>
      <c r="B9" s="19">
        <f ca="1">+(SUMIFS([2]!Tabla2[Toneladas],[2]!Tabla2[Variedad],$B9,[2]!Tabla2[Calidad],"SI",[2]!Tabla2[Cat. Cosecha],"Primu",[2]!Tabla2[Estado.],"DISP")+SUMIFS([2]!Tabla2[Toneladas],[2]!Tabla2[Variedad],$B9,[2]!Tabla2[Calidad],"SI",[2]!Tabla2[Cat. Cosecha],"Segunda",[2]!Tabla2[Estado.],"DISP"))*1000/40*0.85+SUMIFS([3]!Intermedio[Kg x Partida],[3]!Intermedio[Categoría],"Primu",[3]!Intermedio[Oferta - Calidad],"SI" * "SI CURADO",[3]!Intermedio[Variedad],$C9)/40+(SUMIFS([2]!Tabla2[Toneladas],[2]!Tabla2[Variedad],$B9,[2]!Tabla2[Calidad],"SI CURADO",[2]!Tabla2[Cat. Cosecha],"Primu",[2]!Tabla2[Estado.],"DISP")+SUMIFS([2]!Tabla2[Toneladas],[2]!Tabla2[Variedad],$B9,[2]!Tabla2[Calidad],"SI CURADO",[2]!Tabla2[Cat. Cosecha],"Segunda",[2]!Tabla2[Estado.],"DISP"))*1000/40*0.85+SUMIFS([3]!Intermedio[Kg x Partida],[3]!Intermedio[Categoría],"Primu",[3]!Intermedio[Oferta - Calidad],"SI CURADO",[3]!Intermedio[Variedad],$C9)/40</f>
        <v>5927.2625000000016</v>
      </c>
      <c r="C9" s="19">
        <f ca="1">+SUMIFS([2]!Tabla2[Toneladas],[2]!Tabla2[Variedad],$B9,[2]!Tabla2[Cat. Cosecha],"Original",[2]!Tabla2[Estado.],"DISP")*1000/40*0.85+SUMIFS([3]!Intermedio[Kg x Partida],[3]!Intermedio[Categoría],"Original",[3]!Intermedio[Oferta - Calidad],"SI CURADO",[3]!Intermedio[Variedad],$C9)/40+SUMIFS([3]!Intermedio[Kg x Partida],[3]!Intermedio[Categoría],"Original",[3]!Intermedio[Oferta - Calidad],"SI",[3]!Intermedio[Variedad],$C9)/40</f>
        <v>0</v>
      </c>
      <c r="D9" s="19">
        <f t="shared" ca="1" si="0"/>
        <v>5927.2625000000016</v>
      </c>
      <c r="E9" s="19">
        <f ca="1">+SUMIFS([3]!Tabla10[Kg Total],[3]!Tabla10[Variedad],$B9,[3]!Tabla10[categoria],"Primu")/40</f>
        <v>0</v>
      </c>
      <c r="F9" s="3">
        <f ca="1">+SUMIFS([3]!Tabla10[Kg Total],[3]!Tabla10[Variedad],$B9,[3]!Tabla10[categoria],"Original")/40</f>
        <v>0</v>
      </c>
      <c r="G9" s="19">
        <f t="shared" ca="1" si="1"/>
        <v>0</v>
      </c>
      <c r="H9" s="3">
        <f t="shared" ca="1" si="2"/>
        <v>5927.2625000000016</v>
      </c>
      <c r="I9" s="19">
        <f t="shared" ca="1" si="2"/>
        <v>0</v>
      </c>
      <c r="J9" s="19">
        <f t="shared" ca="1" si="2"/>
        <v>5927.2625000000016</v>
      </c>
      <c r="R9" s="1"/>
    </row>
    <row r="10" spans="1:18" x14ac:dyDescent="0.3">
      <c r="A10" s="20" t="s">
        <v>7</v>
      </c>
      <c r="B10" s="21">
        <f ca="1">+(SUMIFS([2]!Tabla2[Toneladas],[2]!Tabla2[Variedad],$B10,[2]!Tabla2[Calidad],"SI",[2]!Tabla2[Cat. Cosecha],"Primu",[2]!Tabla2[Estado.],"DISP")+SUMIFS([2]!Tabla2[Toneladas],[2]!Tabla2[Variedad],$B10,[2]!Tabla2[Calidad],"SI",[2]!Tabla2[Cat. Cosecha],"Segunda",[2]!Tabla2[Estado.],"DISP"))*1000/40*0.85+SUMIFS([3]!Intermedio[Kg x Partida],[3]!Intermedio[Categoría],"Primu",[3]!Intermedio[Oferta - Calidad],"SI" * "SI CURADO",[3]!Intermedio[Variedad],$C10)/40+(SUMIFS([2]!Tabla2[Toneladas],[2]!Tabla2[Variedad],$B10,[2]!Tabla2[Calidad],"SI CURADO",[2]!Tabla2[Cat. Cosecha],"Primu",[2]!Tabla2[Estado.],"DISP")+SUMIFS([2]!Tabla2[Toneladas],[2]!Tabla2[Variedad],$B10,[2]!Tabla2[Calidad],"SI CURADO",[2]!Tabla2[Cat. Cosecha],"Segunda",[2]!Tabla2[Estado.],"DISP"))*1000/40*0.85+SUMIFS([3]!Intermedio[Kg x Partida],[3]!Intermedio[Categoría],"Primu",[3]!Intermedio[Oferta - Calidad],"SI CURADO",[3]!Intermedio[Variedad],$C10)/40</f>
        <v>4955.5</v>
      </c>
      <c r="C10" s="21">
        <f ca="1">+SUMIFS([2]!Tabla2[Toneladas],[2]!Tabla2[Variedad],$B10,[2]!Tabla2[Cat. Cosecha],"Original",[2]!Tabla2[Estado.],"DISP")*1000/40*0.85+SUMIFS([3]!Intermedio[Kg x Partida],[3]!Intermedio[Categoría],"Original",[3]!Intermedio[Oferta - Calidad],"SI CURADO",[3]!Intermedio[Variedad],$C10)/40+SUMIFS([3]!Intermedio[Kg x Partida],[3]!Intermedio[Categoría],"Original",[3]!Intermedio[Oferta - Calidad],"SI",[3]!Intermedio[Variedad],$C10)/40</f>
        <v>4377.3500000000004</v>
      </c>
      <c r="D10" s="21">
        <f t="shared" ca="1" si="0"/>
        <v>9332.85</v>
      </c>
      <c r="E10" s="21">
        <f ca="1">+SUMIFS([3]!Tabla10[Kg Total],[3]!Tabla10[Variedad],$B10,[3]!Tabla10[categoria],"Primu")/40</f>
        <v>0</v>
      </c>
      <c r="F10" s="22">
        <f ca="1">+SUMIFS([3]!Tabla10[Kg Total],[3]!Tabla10[Variedad],$B10,[3]!Tabla10[categoria],"Original")/40</f>
        <v>1513</v>
      </c>
      <c r="G10" s="21">
        <f t="shared" ca="1" si="1"/>
        <v>1513</v>
      </c>
      <c r="H10" s="22">
        <f t="shared" ca="1" si="2"/>
        <v>4955.5</v>
      </c>
      <c r="I10" s="21">
        <f t="shared" ca="1" si="2"/>
        <v>2864.3500000000004</v>
      </c>
      <c r="J10" s="21">
        <f t="shared" ca="1" si="2"/>
        <v>7819.85</v>
      </c>
    </row>
    <row r="11" spans="1:18" x14ac:dyDescent="0.3">
      <c r="A11" s="18" t="s">
        <v>8</v>
      </c>
      <c r="B11" s="19">
        <f ca="1">+(SUMIFS([2]!Tabla2[Toneladas],[2]!Tabla2[Variedad],$B11,[2]!Tabla2[Calidad],"SI",[2]!Tabla2[Cat. Cosecha],"Primu",[2]!Tabla2[Estado.],"DISP")+SUMIFS([2]!Tabla2[Toneladas],[2]!Tabla2[Variedad],$B11,[2]!Tabla2[Calidad],"SI",[2]!Tabla2[Cat. Cosecha],"Segunda",[2]!Tabla2[Estado.],"DISP"))*1000/40*0.85+SUMIFS([3]!Intermedio[Kg x Partida],[3]!Intermedio[Categoría],"Primu",[3]!Intermedio[Oferta - Calidad],"SI" * "SI CURADO",[3]!Intermedio[Variedad],$C11)/40+(SUMIFS([2]!Tabla2[Toneladas],[2]!Tabla2[Variedad],$B11,[2]!Tabla2[Calidad],"SI CURADO",[2]!Tabla2[Cat. Cosecha],"Primu",[2]!Tabla2[Estado.],"DISP")+SUMIFS([2]!Tabla2[Toneladas],[2]!Tabla2[Variedad],$B11,[2]!Tabla2[Calidad],"SI CURADO",[2]!Tabla2[Cat. Cosecha],"Segunda",[2]!Tabla2[Estado.],"DISP"))*1000/40*0.85+SUMIFS([3]!Intermedio[Kg x Partida],[3]!Intermedio[Categoría],"Primu",[3]!Intermedio[Oferta - Calidad],"SI CURADO",[3]!Intermedio[Variedad],$C11)/40</f>
        <v>8919.6875</v>
      </c>
      <c r="C11" s="19">
        <f ca="1">+SUMIFS([2]!Tabla2[Toneladas],[2]!Tabla2[Variedad],$B11,[2]!Tabla2[Cat. Cosecha],"Original",[2]!Tabla2[Estado.],"DISP")*1000/40*0.85+SUMIFS([3]!Intermedio[Kg x Partida],[3]!Intermedio[Categoría],"Original",[3]!Intermedio[Oferta - Calidad],"SI CURADO",[3]!Intermedio[Variedad],$C11)/40+SUMIFS([3]!Intermedio[Kg x Partida],[3]!Intermedio[Categoría],"Original",[3]!Intermedio[Oferta - Calidad],"SI",[3]!Intermedio[Variedad],$C11)/40</f>
        <v>7523.375</v>
      </c>
      <c r="D11" s="19">
        <f t="shared" ca="1" si="0"/>
        <v>16443.0625</v>
      </c>
      <c r="E11" s="19">
        <f ca="1">+SUMIFS([3]!Tabla10[Kg Total],[3]!Tabla10[Variedad],$B11,[3]!Tabla10[categoria],"Primu")/40</f>
        <v>0</v>
      </c>
      <c r="F11" s="3">
        <f ca="1">+SUMIFS([3]!Tabla10[Kg Total],[3]!Tabla10[Variedad],$B11,[3]!Tabla10[categoria],"Original")/40</f>
        <v>5350</v>
      </c>
      <c r="G11" s="19">
        <f t="shared" ca="1" si="1"/>
        <v>5350</v>
      </c>
      <c r="H11" s="3">
        <f t="shared" ca="1" si="2"/>
        <v>8919.6875</v>
      </c>
      <c r="I11" s="19">
        <f t="shared" ca="1" si="2"/>
        <v>2173.375</v>
      </c>
      <c r="J11" s="19">
        <f t="shared" ca="1" si="2"/>
        <v>11093.0625</v>
      </c>
    </row>
    <row r="12" spans="1:18" x14ac:dyDescent="0.3">
      <c r="A12" s="20" t="s">
        <v>9</v>
      </c>
      <c r="B12" s="21">
        <f ca="1">+(SUMIFS([2]!Tabla2[Toneladas],[2]!Tabla2[Variedad],$B12,[2]!Tabla2[Calidad],"SI",[2]!Tabla2[Cat. Cosecha],"Primu",[2]!Tabla2[Estado.],"DISP")+SUMIFS([2]!Tabla2[Toneladas],[2]!Tabla2[Variedad],$B12,[2]!Tabla2[Calidad],"SI",[2]!Tabla2[Cat. Cosecha],"Segunda",[2]!Tabla2[Estado.],"DISP"))*1000/40*0.85+SUMIFS([3]!Intermedio[Kg x Partida],[3]!Intermedio[Categoría],"Primu",[3]!Intermedio[Oferta - Calidad],"SI" * "SI CURADO",[3]!Intermedio[Variedad],$C12)/40+(SUMIFS([2]!Tabla2[Toneladas],[2]!Tabla2[Variedad],$B12,[2]!Tabla2[Calidad],"SI CURADO",[2]!Tabla2[Cat. Cosecha],"Primu",[2]!Tabla2[Estado.],"DISP")+SUMIFS([2]!Tabla2[Toneladas],[2]!Tabla2[Variedad],$B12,[2]!Tabla2[Calidad],"SI CURADO",[2]!Tabla2[Cat. Cosecha],"Segunda",[2]!Tabla2[Estado.],"DISP"))*1000/40*0.85+SUMIFS([3]!Intermedio[Kg x Partida],[3]!Intermedio[Categoría],"Primu",[3]!Intermedio[Oferta - Calidad],"SI CURADO",[3]!Intermedio[Variedad],$C12)/40</f>
        <v>2455.6499999999996</v>
      </c>
      <c r="C12" s="21">
        <f ca="1">+SUMIFS([2]!Tabla2[Toneladas],[2]!Tabla2[Variedad],$B12,[2]!Tabla2[Cat. Cosecha],"Original",[2]!Tabla2[Estado.],"DISP")*1000/40*0.85+SUMIFS([3]!Intermedio[Kg x Partida],[3]!Intermedio[Categoría],"Original",[3]!Intermedio[Oferta - Calidad],"SI CURADO",[3]!Intermedio[Variedad],$C12)/40+SUMIFS([3]!Intermedio[Kg x Partida],[3]!Intermedio[Categoría],"Original",[3]!Intermedio[Oferta - Calidad],"SI",[3]!Intermedio[Variedad],$C12)/40</f>
        <v>0</v>
      </c>
      <c r="D12" s="21">
        <f t="shared" ca="1" si="0"/>
        <v>2455.6499999999996</v>
      </c>
      <c r="E12" s="21">
        <f ca="1">+SUMIFS([3]!Tabla10[Kg Total],[3]!Tabla10[Variedad],$B12,[3]!Tabla10[categoria],"Primu")/40</f>
        <v>125</v>
      </c>
      <c r="F12" s="22">
        <f ca="1">+SUMIFS([3]!Tabla10[Kg Total],[3]!Tabla10[Variedad],$B12,[3]!Tabla10[categoria],"Original")/40</f>
        <v>0</v>
      </c>
      <c r="G12" s="21">
        <f t="shared" ca="1" si="1"/>
        <v>125</v>
      </c>
      <c r="H12" s="22">
        <f t="shared" ca="1" si="2"/>
        <v>2330.6499999999996</v>
      </c>
      <c r="I12" s="21">
        <f t="shared" ca="1" si="2"/>
        <v>0</v>
      </c>
      <c r="J12" s="21">
        <f t="shared" ca="1" si="2"/>
        <v>2330.6499999999996</v>
      </c>
    </row>
    <row r="13" spans="1:18" x14ac:dyDescent="0.3">
      <c r="A13" s="18" t="s">
        <v>18</v>
      </c>
      <c r="B13" s="19">
        <f ca="1">+(SUMIFS([2]!Tabla2[Toneladas],[2]!Tabla2[Variedad],$B13,[2]!Tabla2[Calidad],"SI",[2]!Tabla2[Cat. Cosecha],"Primu",[2]!Tabla2[Estado.],"DISP")+SUMIFS([2]!Tabla2[Toneladas],[2]!Tabla2[Variedad],$B13,[2]!Tabla2[Calidad],"SI",[2]!Tabla2[Cat. Cosecha],"Segunda",[2]!Tabla2[Estado.],"DISP"))*1000/40*0.85+SUMIFS([3]!Intermedio[Kg x Partida],[3]!Intermedio[Categoría],"Primu",[3]!Intermedio[Oferta - Calidad],"SI" * "SI CURADO",[3]!Intermedio[Variedad],$C13)/40+(SUMIFS([2]!Tabla2[Toneladas],[2]!Tabla2[Variedad],$B13,[2]!Tabla2[Calidad],"SI CURADO",[2]!Tabla2[Cat. Cosecha],"Primu",[2]!Tabla2[Estado.],"DISP")+SUMIFS([2]!Tabla2[Toneladas],[2]!Tabla2[Variedad],$B13,[2]!Tabla2[Calidad],"SI CURADO",[2]!Tabla2[Cat. Cosecha],"Segunda",[2]!Tabla2[Estado.],"DISP"))*1000/40*0.85+SUMIFS([3]!Intermedio[Kg x Partida],[3]!Intermedio[Categoría],"Primu",[3]!Intermedio[Oferta - Calidad],"SI CURADO",[3]!Intermedio[Variedad],$C13)/40</f>
        <v>1096.925</v>
      </c>
      <c r="C13" s="19">
        <f ca="1">+SUMIFS([2]!Tabla2[Toneladas],[2]!Tabla2[Variedad],$B13,[2]!Tabla2[Cat. Cosecha],"Original",[2]!Tabla2[Estado.],"DISP")*1000/40*0.85+SUMIFS([3]!Intermedio[Kg x Partida],[3]!Intermedio[Categoría],"Original",[3]!Intermedio[Oferta - Calidad],"SI CURADO",[3]!Intermedio[Variedad],$C13)/40+SUMIFS([3]!Intermedio[Kg x Partida],[3]!Intermedio[Categoría],"Original",[3]!Intermedio[Oferta - Calidad],"SI",[3]!Intermedio[Variedad],$C13)/40</f>
        <v>0</v>
      </c>
      <c r="D13" s="19">
        <f t="shared" ca="1" si="0"/>
        <v>1096.925</v>
      </c>
      <c r="E13" s="19">
        <f ca="1">+SUMIFS([3]!Tabla10[Kg Total],[3]!Tabla10[Variedad],$B13,[3]!Tabla10[categoria],"Primu")/40</f>
        <v>0</v>
      </c>
      <c r="F13" s="3">
        <f ca="1">+SUMIFS([3]!Tabla10[Kg Total],[3]!Tabla10[Variedad],$B13,[3]!Tabla10[categoria],"Original")/40</f>
        <v>0</v>
      </c>
      <c r="G13" s="19">
        <f t="shared" ca="1" si="1"/>
        <v>0</v>
      </c>
      <c r="H13" s="3">
        <f t="shared" ca="1" si="2"/>
        <v>1096.925</v>
      </c>
      <c r="I13" s="19">
        <f t="shared" ca="1" si="2"/>
        <v>0</v>
      </c>
      <c r="J13" s="19">
        <f t="shared" ca="1" si="2"/>
        <v>1096.925</v>
      </c>
    </row>
    <row r="14" spans="1:18" x14ac:dyDescent="0.3">
      <c r="A14" s="23" t="s">
        <v>12</v>
      </c>
      <c r="B14" s="24">
        <f ca="1">+SUM(B3:B13)</f>
        <v>143794.44999999998</v>
      </c>
      <c r="C14" s="24">
        <f t="shared" ref="C14:J14" ca="1" si="3">+SUM(C3:C13)</f>
        <v>23004.912500000002</v>
      </c>
      <c r="D14" s="24">
        <f ca="1">+SUM(D3:D13)</f>
        <v>166799.36250000002</v>
      </c>
      <c r="E14" s="24">
        <f t="shared" ca="1" si="3"/>
        <v>2450</v>
      </c>
      <c r="F14" s="24">
        <f t="shared" ca="1" si="3"/>
        <v>6863</v>
      </c>
      <c r="G14" s="24">
        <f t="shared" ca="1" si="3"/>
        <v>9313</v>
      </c>
      <c r="H14" s="24">
        <f t="shared" ca="1" si="3"/>
        <v>141344.44999999998</v>
      </c>
      <c r="I14" s="24">
        <f t="shared" ca="1" si="3"/>
        <v>16141.912500000002</v>
      </c>
      <c r="J14" s="24">
        <f t="shared" ca="1" si="3"/>
        <v>157486.36250000002</v>
      </c>
    </row>
    <row r="20" spans="1:12" s="7" customFormat="1" x14ac:dyDescent="0.3">
      <c r="A20"/>
      <c r="B20"/>
      <c r="C20"/>
      <c r="D20"/>
      <c r="E20"/>
      <c r="F20"/>
      <c r="G20"/>
      <c r="H20"/>
      <c r="I20"/>
      <c r="J20"/>
      <c r="K20"/>
      <c r="L20"/>
    </row>
    <row r="22" spans="1:12" ht="23.4" customHeight="1" x14ac:dyDescent="0.3"/>
  </sheetData>
  <mergeCells count="3">
    <mergeCell ref="B1:D1"/>
    <mergeCell ref="E1:G1"/>
    <mergeCell ref="H1:J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804a7ba-f2e0-4676-895b-51b72a1dee22" xsi:nil="true"/>
    <lcf76f155ced4ddcb4097134ff3c332f xmlns="544e7ad6-3688-46da-9042-b104e62521a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62710EB5603DA40A8F0852CB3929378" ma:contentTypeVersion="14" ma:contentTypeDescription="Crear nuevo documento." ma:contentTypeScope="" ma:versionID="e6ff4a16166c7dac67d9ae7eaa31b9b3">
  <xsd:schema xmlns:xsd="http://www.w3.org/2001/XMLSchema" xmlns:xs="http://www.w3.org/2001/XMLSchema" xmlns:p="http://schemas.microsoft.com/office/2006/metadata/properties" xmlns:ns2="544e7ad6-3688-46da-9042-b104e62521aa" xmlns:ns3="4804a7ba-f2e0-4676-895b-51b72a1dee22" targetNamespace="http://schemas.microsoft.com/office/2006/metadata/properties" ma:root="true" ma:fieldsID="3393568af193bec3d3ae4fa0ea9e97fb" ns2:_="" ns3:_="">
    <xsd:import namespace="544e7ad6-3688-46da-9042-b104e62521aa"/>
    <xsd:import namespace="4804a7ba-f2e0-4676-895b-51b72a1de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4e7ad6-3688-46da-9042-b104e62521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83dc4b05-3fe6-4866-86e9-303fe81d73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04a7ba-f2e0-4676-895b-51b72a1dee2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9683d2f-1bb2-4d84-858c-3952330542ef}" ma:internalName="TaxCatchAll" ma:showField="CatchAllData" ma:web="4804a7ba-f2e0-4676-895b-51b72a1de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F0FD11-A86C-42CB-A2D8-451F753A647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C1E2EDF-F90A-46F0-B625-92728D7199F0}">
  <ds:schemaRefs>
    <ds:schemaRef ds:uri="http://schemas.microsoft.com/office/2006/metadata/properties"/>
    <ds:schemaRef ds:uri="http://schemas.microsoft.com/office/infopath/2007/PartnerControls"/>
    <ds:schemaRef ds:uri="4804a7ba-f2e0-4676-895b-51b72a1dee22"/>
    <ds:schemaRef ds:uri="544e7ad6-3688-46da-9042-b104e62521aa"/>
  </ds:schemaRefs>
</ds:datastoreItem>
</file>

<file path=customXml/itemProps3.xml><?xml version="1.0" encoding="utf-8"?>
<ds:datastoreItem xmlns:ds="http://schemas.openxmlformats.org/officeDocument/2006/customXml" ds:itemID="{CC5B4BD6-55AF-4180-AF64-678C03A02C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4e7ad6-3688-46da-9042-b104e62521aa"/>
    <ds:schemaRef ds:uri="4804a7ba-f2e0-4676-895b-51b72a1de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Oferta - Vane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Santiago Urruti</dc:creator>
  <cp:keywords/>
  <dc:description/>
  <cp:lastModifiedBy>Dario Besler</cp:lastModifiedBy>
  <cp:revision/>
  <dcterms:created xsi:type="dcterms:W3CDTF">2024-11-25T20:24:09Z</dcterms:created>
  <dcterms:modified xsi:type="dcterms:W3CDTF">2026-03-26T11:13:34Z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0x010100262710EB5603DA40A8F0852CB3929378</vt:lpwstr>
  </property>
</Properties>
</file>